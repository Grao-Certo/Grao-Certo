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vixus\Downloads\"/>
    </mc:Choice>
  </mc:AlternateContent>
  <xr:revisionPtr revIDLastSave="0" documentId="13_ncr:1_{B1844F82-2A38-4568-A733-25F746A6CA66}" xr6:coauthVersionLast="47" xr6:coauthVersionMax="47" xr10:uidLastSave="{00000000-0000-0000-0000-000000000000}"/>
  <bookViews>
    <workbookView xWindow="28680" yWindow="525" windowWidth="29040" windowHeight="15720" tabRatio="500" xr2:uid="{00000000-000D-0000-FFFF-FFFF00000000}"/>
  </bookViews>
  <sheets>
    <sheet name="Tarefas" sheetId="1" r:id="rId1"/>
    <sheet name="Planejamento Sprints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15" i="1" l="1"/>
  <c r="J16" i="1" s="1"/>
  <c r="J17" i="1" s="1"/>
  <c r="J18" i="1" s="1"/>
  <c r="J19" i="1" s="1"/>
  <c r="J11" i="1"/>
  <c r="J12" i="1"/>
  <c r="J13" i="1"/>
  <c r="J10" i="1"/>
  <c r="J9" i="1"/>
  <c r="J3" i="1"/>
  <c r="J4" i="1"/>
  <c r="J5" i="1"/>
  <c r="J6" i="1"/>
  <c r="J7" i="1" s="1"/>
  <c r="E43" i="2"/>
  <c r="I21" i="1"/>
  <c r="G21" i="1"/>
  <c r="H15" i="1"/>
  <c r="H16" i="1" s="1"/>
  <c r="H17" i="1" s="1"/>
  <c r="H18" i="1" s="1"/>
  <c r="H19" i="1" s="1"/>
  <c r="C11" i="1"/>
  <c r="B11" i="1"/>
  <c r="C10" i="1"/>
  <c r="D10" i="1" s="1"/>
  <c r="B10" i="1"/>
  <c r="C9" i="1"/>
  <c r="B9" i="1"/>
  <c r="H9" i="1"/>
  <c r="H10" i="1" s="1"/>
  <c r="B6" i="1"/>
  <c r="B5" i="1"/>
  <c r="R11" i="1" s="1"/>
  <c r="O3" i="1"/>
  <c r="H4" i="1"/>
  <c r="H5" i="1" s="1"/>
  <c r="M2" i="1"/>
  <c r="M4" i="1" s="1"/>
  <c r="H3" i="1"/>
  <c r="D11" i="1" l="1"/>
  <c r="D9" i="1"/>
  <c r="H6" i="1"/>
  <c r="H11" i="1"/>
  <c r="S11" i="1"/>
  <c r="R15" i="1"/>
  <c r="R8" i="1"/>
  <c r="S15" i="1"/>
  <c r="R3" i="1"/>
  <c r="R5" i="1"/>
  <c r="S8" i="1"/>
  <c r="R12" i="1"/>
  <c r="S3" i="1"/>
  <c r="S5" i="1"/>
  <c r="R10" i="1"/>
  <c r="S12" i="1"/>
  <c r="R16" i="1"/>
  <c r="S16" i="1"/>
  <c r="S10" i="1"/>
  <c r="R13" i="1"/>
  <c r="S13" i="1"/>
  <c r="R17" i="1"/>
  <c r="S17" i="1"/>
  <c r="N2" i="1"/>
  <c r="R6" i="1"/>
  <c r="S6" i="1"/>
  <c r="R9" i="1"/>
  <c r="R14" i="1"/>
  <c r="R2" i="1"/>
  <c r="R4" i="1"/>
  <c r="R7" i="1"/>
  <c r="S9" i="1"/>
  <c r="S14" i="1"/>
  <c r="S2" i="1"/>
  <c r="S4" i="1"/>
  <c r="S7" i="1"/>
  <c r="H12" i="1" l="1"/>
  <c r="O2" i="1"/>
  <c r="N4" i="1"/>
  <c r="O4" i="1" s="1"/>
  <c r="H7" i="1"/>
  <c r="H13" i="1" l="1"/>
</calcChain>
</file>

<file path=xl/sharedStrings.xml><?xml version="1.0" encoding="utf-8"?>
<sst xmlns="http://schemas.openxmlformats.org/spreadsheetml/2006/main" count="292" uniqueCount="138">
  <si>
    <t>Sprint</t>
  </si>
  <si>
    <t>Pontos</t>
  </si>
  <si>
    <t>Semanas</t>
  </si>
  <si>
    <t>Meta semana</t>
  </si>
  <si>
    <t>Meta ideal</t>
  </si>
  <si>
    <t>Realizado ideal</t>
  </si>
  <si>
    <t>Pendente</t>
  </si>
  <si>
    <t>Faixa</t>
  </si>
  <si>
    <t>Realizado</t>
  </si>
  <si>
    <t>Meta</t>
  </si>
  <si>
    <t>Diferença</t>
  </si>
  <si>
    <t>Semana</t>
  </si>
  <si>
    <t>Meta Ideal</t>
  </si>
  <si>
    <t>Sprint 1</t>
  </si>
  <si>
    <t>Semana 1</t>
  </si>
  <si>
    <t>Pontos a serem entregues</t>
  </si>
  <si>
    <t>Sprint 2</t>
  </si>
  <si>
    <t>Semana 2</t>
  </si>
  <si>
    <t>Prazo de término (semanas)</t>
  </si>
  <si>
    <t>Sprint 3</t>
  </si>
  <si>
    <t>Semana 3</t>
  </si>
  <si>
    <t>Meta ideal semana</t>
  </si>
  <si>
    <t>Total</t>
  </si>
  <si>
    <t>Semana 4</t>
  </si>
  <si>
    <t>média semana</t>
  </si>
  <si>
    <t>Semana 5</t>
  </si>
  <si>
    <t>Totais</t>
  </si>
  <si>
    <t>Requisito</t>
  </si>
  <si>
    <t>Descrição</t>
  </si>
  <si>
    <t>Classificação</t>
  </si>
  <si>
    <t>Tamanho</t>
  </si>
  <si>
    <t>Pontuação</t>
  </si>
  <si>
    <t>Prioridade</t>
  </si>
  <si>
    <t>Responsavel</t>
  </si>
  <si>
    <t>Ferramenta de Gestão de Projeto</t>
  </si>
  <si>
    <t>Escolha e configuração de ferramenta para gestão ágil do projeto (ex: Jira, Trello) com quadro Kanban e backlog</t>
  </si>
  <si>
    <t>Importante</t>
  </si>
  <si>
    <t>M</t>
  </si>
  <si>
    <t>SP01</t>
  </si>
  <si>
    <t>Lucas Alves</t>
  </si>
  <si>
    <t>Linux instalado em VM local</t>
  </si>
  <si>
    <t>Instalação de distribuição Linux em máquina virtual local para ambiente de desenvolvimento</t>
  </si>
  <si>
    <t>P</t>
  </si>
  <si>
    <t>Nathalia Albuquerque</t>
  </si>
  <si>
    <t>Setup de client de virtualização</t>
  </si>
  <si>
    <t>Instalação e configuração do client de virtualização (ex: VirtualBox, VMware) na máquina da equipe</t>
  </si>
  <si>
    <t>Requisitos populados na ferramenta</t>
  </si>
  <si>
    <t>Cadastro de todos os requisitos funcionais e não funcionais do projeto na ferramenta de gestão</t>
  </si>
  <si>
    <t>Essencial</t>
  </si>
  <si>
    <t>Nathan Fioravanti</t>
  </si>
  <si>
    <t>Simulador Financeiro (individual)</t>
  </si>
  <si>
    <t>Desenvolvimento individual de simulador financeiro para cálculo de economia e retorno do investimento</t>
  </si>
  <si>
    <t>G</t>
  </si>
  <si>
    <t>Equipe toda</t>
  </si>
  <si>
    <t>Diagrama de visão de negocio</t>
  </si>
  <si>
    <t>Criação do diagrama de visão de negócio apresentando o contexto e objetivos da solução</t>
  </si>
  <si>
    <t>Desejavel</t>
  </si>
  <si>
    <t>PP</t>
  </si>
  <si>
    <t>Yuri Viera</t>
  </si>
  <si>
    <t>projeto configurado no github</t>
  </si>
  <si>
    <t>Configuração do repositório do projeto no GitHub com estrutura de branches, README e permissões da equipe</t>
  </si>
  <si>
    <t xml:space="preserve">Tela de Login </t>
  </si>
  <si>
    <t>Desenvolvimento da tela de login com campos de e-mail e senha, incluindo validação dos dados</t>
  </si>
  <si>
    <t>Wendell Soares</t>
  </si>
  <si>
    <t>Criação das tabelas no MYSQL</t>
  </si>
  <si>
    <t>Criação das tabelas no banco de dados MySQL conforme modelagem definida para o projeto</t>
  </si>
  <si>
    <t>Contexto de negócio</t>
  </si>
  <si>
    <t>Documentação do contexto de negócio descrevendo o problema, o cliente e a proposta de valor</t>
  </si>
  <si>
    <t>Protótiopo de site Institucional</t>
  </si>
  <si>
    <t>Criação do protótipo navegável do site institucional contendo todas as telas principais</t>
  </si>
  <si>
    <t>GG</t>
  </si>
  <si>
    <t>Larissa Cardoso</t>
  </si>
  <si>
    <t>Diagrama de Solução</t>
  </si>
  <si>
    <t>Criação de um diagrama visual para a solução proposta</t>
  </si>
  <si>
    <t>SP02</t>
  </si>
  <si>
    <t>Victor</t>
  </si>
  <si>
    <t>Especificação de Dashboard</t>
  </si>
  <si>
    <t>Especificação dos graficos que serão utilizados nos dashboards</t>
  </si>
  <si>
    <t>Dayvid</t>
  </si>
  <si>
    <t>Modelagem do Banco de Dados</t>
  </si>
  <si>
    <t>Modelagem MER para o banco de dados já existente</t>
  </si>
  <si>
    <t>Planilha de Risco</t>
  </si>
  <si>
    <t>Planilha para compreensão dos riscos existentes do projeto</t>
  </si>
  <si>
    <t>Refatoração das tabelas</t>
  </si>
  <si>
    <t>Alterar informações das tabelas SQL para adequar aos dados obtidos nos sensores e no site</t>
  </si>
  <si>
    <t xml:space="preserve">Tela de Cadastro </t>
  </si>
  <si>
    <t>Tela de cadastro precisa ter itens como email, senha, usuario, perfil e uma mascara de validação de email</t>
  </si>
  <si>
    <t>Pedro</t>
  </si>
  <si>
    <t xml:space="preserve">Tela de Dashboards </t>
  </si>
  <si>
    <t>Tela com graficos de overview dos dados obtidos via sensor</t>
  </si>
  <si>
    <t>Tela de login precisa ter dados como email e senha</t>
  </si>
  <si>
    <t>Tela de Simulador Financeiro</t>
  </si>
  <si>
    <t>Tela com input de dados para que seja calculado resultados para o cliente</t>
  </si>
  <si>
    <t>Yasmin</t>
  </si>
  <si>
    <t xml:space="preserve">Tela Inicial </t>
  </si>
  <si>
    <t>Tela inicial do site com informações descritas no protótipo</t>
  </si>
  <si>
    <t>Matheus</t>
  </si>
  <si>
    <t>Tela Sobre nós</t>
  </si>
  <si>
    <t>Complemento da tela inicial, com informações detalhadas da empresa</t>
  </si>
  <si>
    <t>Uso de Banco de dados via VM</t>
  </si>
  <si>
    <t>Acesso ao SQL WorkBench via Hypervisualizer</t>
  </si>
  <si>
    <t>Lucas</t>
  </si>
  <si>
    <t>Utilização da API do sensor</t>
  </si>
  <si>
    <t>Configuração e teste para obtenção de dados com uso do sensor e troca de informações via API</t>
  </si>
  <si>
    <t>Validação da solução tecnica</t>
  </si>
  <si>
    <t>Validação da solução do contexto técnico pré-existente da solução</t>
  </si>
  <si>
    <t>Validação da Documentação</t>
  </si>
  <si>
    <t>Verificação de informações e validação da documentação existente</t>
  </si>
  <si>
    <t xml:space="preserve">Victor </t>
  </si>
  <si>
    <t>Validação do Prototipo</t>
  </si>
  <si>
    <t>Validação de todas as telas do site basenado-se no prototipo do site</t>
  </si>
  <si>
    <t>Fluxograma de suporte</t>
  </si>
  <si>
    <t>Elaboração de fluxograma descrevendo o processo de atendimento e suporte ao cliente</t>
  </si>
  <si>
    <t>SP03</t>
  </si>
  <si>
    <t>Ferramenta de Help Desk</t>
  </si>
  <si>
    <t>Definição e configuração de ferramenta de Help Desk para registro e acompanhamento de chamados</t>
  </si>
  <si>
    <t>Documento de Mudança</t>
  </si>
  <si>
    <t>Elaboração do documento formal de gestão de mudanças do projeto</t>
  </si>
  <si>
    <t>Modelagem lógica</t>
  </si>
  <si>
    <t>Modelagem lógica do banco de dados a partir do modelo conceitual (MER)</t>
  </si>
  <si>
    <t>Script SQL Server</t>
  </si>
  <si>
    <t>Criação dos scripts SQL para criação e povoamento das tabelas no SQL Server</t>
  </si>
  <si>
    <t>Teste Integrado dashboard</t>
  </si>
  <si>
    <t>Execução de testes integrados do dashboard validando comunicação com o banco de dados</t>
  </si>
  <si>
    <t>Teste Integrado da solução IoT</t>
  </si>
  <si>
    <t>Execução de testes integrados da solução IoT de ponta a ponta (sensor, API, banco e site)</t>
  </si>
  <si>
    <t>Teste Integrado BD + Arduino</t>
  </si>
  <si>
    <t>Execução de testes integrados entre o banco de dados e o Arduino validando a gravação dos dados</t>
  </si>
  <si>
    <t>Uso das API's: Dat Acqu Ino + BobIA(N3)</t>
  </si>
  <si>
    <t>Integração e consumo das APIs Dat Acqu Ino e BobIA (N3) para obtenção e análise dos dados</t>
  </si>
  <si>
    <t>Infraestrutura simulada de cliente</t>
  </si>
  <si>
    <t>Montagem de infraestrutura simulada representando o ambiente do cliente para testes</t>
  </si>
  <si>
    <t>Servidor utilizando a VM linux</t>
  </si>
  <si>
    <t>Configuração de servidor na VM Linux para hospedar os serviços da solução</t>
  </si>
  <si>
    <t>Integração do site com 
API web-data-viz</t>
  </si>
  <si>
    <t>Integração do site com a API web-data-viz para exibição dos dashboards de dados</t>
  </si>
  <si>
    <t xml:space="preserve"> Total</t>
  </si>
  <si>
    <t>Semana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</si>
</sst>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charset val="1"/>
    </font>
    <font>
      <b/>
      <sz val="11"/>
      <name val="Arial"/>
      <charset val="1"/>
    </font>
    <font>
      <sz val="11"/>
      <name val="Arial"/>
      <charset val="1"/>
    </font>
    <font>
      <sz val="11"/>
      <name val="Cambria"/>
      <charset val="1"/>
    </font>
    <font>
      <u/>
      <sz val="11"/>
      <color theme="1"/>
      <name val="Aptos Narrow"/>
      <family val="2"/>
      <charset val="1"/>
    </font>
    <font>
      <sz val="11"/>
      <name val="Arial"/>
      <family val="2"/>
    </font>
    <font>
      <b/>
      <sz val="1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9" tint="0.39979247413556324"/>
        <bgColor rgb="FF84E291"/>
      </patternFill>
    </fill>
    <fill>
      <patternFill patternType="solid">
        <fgColor rgb="FFD9D9D9"/>
        <bgColor rgb="FFB3D2FF"/>
      </patternFill>
    </fill>
    <fill>
      <patternFill patternType="solid">
        <fgColor rgb="FFFFFF00"/>
        <bgColor rgb="FFFFFF00"/>
      </patternFill>
    </fill>
    <fill>
      <patternFill patternType="solid">
        <fgColor rgb="FFB3FFE0"/>
        <bgColor rgb="FFCCFFFF"/>
      </patternFill>
    </fill>
    <fill>
      <patternFill patternType="solid">
        <fgColor rgb="FFFFFF89"/>
        <bgColor rgb="FFFFFFCC"/>
      </patternFill>
    </fill>
    <fill>
      <patternFill patternType="solid">
        <fgColor rgb="FFFF6969"/>
        <bgColor rgb="FFFF6600"/>
      </patternFill>
    </fill>
    <fill>
      <patternFill patternType="solid">
        <fgColor theme="6" tint="0.59978026673177287"/>
        <bgColor rgb="FF8ED973"/>
      </patternFill>
    </fill>
    <fill>
      <patternFill patternType="solid">
        <fgColor rgb="FFB3D2FF"/>
        <bgColor rgb="FFD9D9D9"/>
      </patternFill>
    </fill>
    <fill>
      <patternFill patternType="solid">
        <fgColor rgb="FFFFAFAF"/>
        <bgColor rgb="FFD9D9D9"/>
      </patternFill>
    </fill>
    <fill>
      <patternFill patternType="solid">
        <fgColor theme="9" tint="0.39997558519241921"/>
        <bgColor rgb="FFB3D2FF"/>
      </patternFill>
    </fill>
    <fill>
      <patternFill patternType="solid">
        <fgColor theme="9" tint="0.39997558519241921"/>
        <bgColor rgb="FF84E29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0" fontId="3" fillId="0" borderId="0" xfId="0" applyFont="1"/>
    <xf numFmtId="0" fontId="4" fillId="0" borderId="1" xfId="0" applyFont="1" applyBorder="1"/>
    <xf numFmtId="0" fontId="1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/>
    <xf numFmtId="0" fontId="0" fillId="2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wrapText="1"/>
    </xf>
    <xf numFmtId="0" fontId="0" fillId="12" borderId="1" xfId="0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6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E31A6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6969"/>
      <rgbColor rgb="FF1F77B4"/>
      <rgbColor rgb="FFB3D2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3FFE0"/>
      <rgbColor rgb="FFFFFF89"/>
      <rgbColor rgb="FF84E291"/>
      <rgbColor rgb="FFFFAFAF"/>
      <rgbColor rgb="FFCC99FF"/>
      <rgbColor rgb="FFD9D9D9"/>
      <rgbColor rgb="FF3366FF"/>
      <rgbColor rgb="FF33CCCC"/>
      <rgbColor rgb="FF8ED973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Aptos Narrow"/>
              </a:rPr>
              <a:t>Gráfico de Burndown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Tarefas!$R$1</c:f>
              <c:strCache>
                <c:ptCount val="1"/>
                <c:pt idx="0">
                  <c:v>Meta Ideal</c:v>
                </c:pt>
              </c:strCache>
            </c:strRef>
          </c:tx>
          <c:spPr>
            <a:ln w="29880">
              <a:solidFill>
                <a:srgbClr val="1F77B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Tarefas!$Q$2:$Q$17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cat>
          <c:val>
            <c:numRef>
              <c:f>Tarefas!$R$2:$R$17</c:f>
              <c:numCache>
                <c:formatCode>General</c:formatCode>
                <c:ptCount val="16"/>
                <c:pt idx="0">
                  <c:v>274</c:v>
                </c:pt>
                <c:pt idx="1">
                  <c:v>255.7</c:v>
                </c:pt>
                <c:pt idx="2">
                  <c:v>237.5</c:v>
                </c:pt>
                <c:pt idx="3">
                  <c:v>219.2</c:v>
                </c:pt>
                <c:pt idx="4">
                  <c:v>200.9</c:v>
                </c:pt>
                <c:pt idx="5">
                  <c:v>182.7</c:v>
                </c:pt>
                <c:pt idx="6">
                  <c:v>164.4</c:v>
                </c:pt>
                <c:pt idx="7">
                  <c:v>146.1</c:v>
                </c:pt>
                <c:pt idx="8">
                  <c:v>127.9</c:v>
                </c:pt>
                <c:pt idx="9">
                  <c:v>109.6</c:v>
                </c:pt>
                <c:pt idx="10">
                  <c:v>91.3</c:v>
                </c:pt>
                <c:pt idx="11">
                  <c:v>73.099999999999994</c:v>
                </c:pt>
                <c:pt idx="12">
                  <c:v>54.8</c:v>
                </c:pt>
                <c:pt idx="13">
                  <c:v>36.5</c:v>
                </c:pt>
                <c:pt idx="14">
                  <c:v>18.3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AD-4067-AB31-A7D89978F159}"/>
            </c:ext>
          </c:extLst>
        </c:ser>
        <c:ser>
          <c:idx val="1"/>
          <c:order val="1"/>
          <c:tx>
            <c:strRef>
              <c:f>Tarefas!$S$1</c:f>
              <c:strCache>
                <c:ptCount val="1"/>
                <c:pt idx="0">
                  <c:v>Pendente</c:v>
                </c:pt>
              </c:strCache>
            </c:strRef>
          </c:tx>
          <c:spPr>
            <a:ln w="29880">
              <a:solidFill>
                <a:srgbClr val="E31A66"/>
              </a:solidFill>
              <a:round/>
            </a:ln>
          </c:spPr>
          <c:marker>
            <c:symbol val="circle"/>
            <c:size val="6"/>
            <c:spPr>
              <a:solidFill>
                <a:srgbClr val="E31A6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Tarefas!$Q$2:$Q$17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cat>
          <c:val>
            <c:numRef>
              <c:f>Tarefas!$S$2:$S$17</c:f>
              <c:numCache>
                <c:formatCode>General</c:formatCode>
                <c:ptCount val="16"/>
                <c:pt idx="0">
                  <c:v>274</c:v>
                </c:pt>
                <c:pt idx="1">
                  <c:v>266</c:v>
                </c:pt>
                <c:pt idx="2">
                  <c:v>244</c:v>
                </c:pt>
                <c:pt idx="3">
                  <c:v>233</c:v>
                </c:pt>
                <c:pt idx="4">
                  <c:v>228</c:v>
                </c:pt>
                <c:pt idx="5">
                  <c:v>223</c:v>
                </c:pt>
                <c:pt idx="6">
                  <c:v>184</c:v>
                </c:pt>
                <c:pt idx="7">
                  <c:v>158</c:v>
                </c:pt>
                <c:pt idx="8">
                  <c:v>132</c:v>
                </c:pt>
                <c:pt idx="9">
                  <c:v>106</c:v>
                </c:pt>
                <c:pt idx="10">
                  <c:v>92</c:v>
                </c:pt>
                <c:pt idx="11">
                  <c:v>71</c:v>
                </c:pt>
                <c:pt idx="12">
                  <c:v>45</c:v>
                </c:pt>
                <c:pt idx="13">
                  <c:v>28</c:v>
                </c:pt>
                <c:pt idx="14">
                  <c:v>7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AD-4067-AB31-A7D89978F1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7306762"/>
        <c:axId val="98098335"/>
      </c:lineChart>
      <c:catAx>
        <c:axId val="7730676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Aptos Narrow"/>
                  </a:rPr>
                  <a:t>Semanas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pt-BR"/>
          </a:p>
        </c:txPr>
        <c:crossAx val="98098335"/>
        <c:crosses val="autoZero"/>
        <c:auto val="1"/>
        <c:lblAlgn val="ctr"/>
        <c:lblOffset val="100"/>
        <c:noMultiLvlLbl val="0"/>
      </c:catAx>
      <c:valAx>
        <c:axId val="9809833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Aptos Narrow"/>
                  </a:rPr>
                  <a:t>Pontos pendentes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pt-BR"/>
          </a:p>
        </c:txPr>
        <c:crossAx val="7730676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23</xdr:row>
      <xdr:rowOff>19050</xdr:rowOff>
    </xdr:from>
    <xdr:to>
      <xdr:col>11</xdr:col>
      <xdr:colOff>914250</xdr:colOff>
      <xdr:row>45</xdr:row>
      <xdr:rowOff>20055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9"/>
  <sheetViews>
    <sheetView showGridLines="0" tabSelected="1" zoomScaleNormal="100" workbookViewId="0">
      <selection activeCell="L14" sqref="L14"/>
    </sheetView>
  </sheetViews>
  <sheetFormatPr defaultColWidth="8.5546875" defaultRowHeight="14.4" x14ac:dyDescent="0.3"/>
  <cols>
    <col min="1" max="1" width="14" customWidth="1"/>
    <col min="2" max="3" width="11" customWidth="1"/>
    <col min="4" max="4" width="12" customWidth="1"/>
    <col min="5" max="5" width="2" customWidth="1"/>
    <col min="6" max="6" width="13" style="1" customWidth="1"/>
    <col min="7" max="7" width="16.6640625" style="1" customWidth="1"/>
    <col min="8" max="8" width="13" style="1" customWidth="1"/>
    <col min="9" max="9" width="16" style="1" customWidth="1"/>
    <col min="10" max="10" width="12" style="1" customWidth="1"/>
    <col min="11" max="11" width="2" customWidth="1"/>
    <col min="12" max="12" width="28.77734375" customWidth="1"/>
    <col min="13" max="13" width="11" customWidth="1"/>
    <col min="14" max="14" width="9" customWidth="1"/>
    <col min="15" max="15" width="11" customWidth="1"/>
    <col min="16" max="16" width="2" customWidth="1"/>
    <col min="17" max="17" width="9" customWidth="1"/>
    <col min="18" max="19" width="12" customWidth="1"/>
  </cols>
  <sheetData>
    <row r="1" spans="1:19" ht="15" customHeight="1" x14ac:dyDescent="0.3">
      <c r="A1" s="21" t="s">
        <v>0</v>
      </c>
      <c r="B1" s="21" t="s">
        <v>1</v>
      </c>
      <c r="F1" s="22" t="s">
        <v>2</v>
      </c>
      <c r="G1" s="23" t="s">
        <v>3</v>
      </c>
      <c r="H1" s="22" t="s">
        <v>4</v>
      </c>
      <c r="I1" s="22" t="s">
        <v>5</v>
      </c>
      <c r="J1" s="22" t="s">
        <v>6</v>
      </c>
      <c r="L1" s="22" t="s">
        <v>7</v>
      </c>
      <c r="M1" s="22" t="s">
        <v>8</v>
      </c>
      <c r="N1" s="22" t="s">
        <v>9</v>
      </c>
      <c r="O1" s="22" t="s">
        <v>10</v>
      </c>
      <c r="Q1" s="22" t="s">
        <v>11</v>
      </c>
      <c r="R1" s="22" t="s">
        <v>12</v>
      </c>
      <c r="S1" s="22" t="s">
        <v>6</v>
      </c>
    </row>
    <row r="2" spans="1:19" x14ac:dyDescent="0.3">
      <c r="A2" s="3" t="s">
        <v>13</v>
      </c>
      <c r="B2" s="3">
        <v>51</v>
      </c>
      <c r="F2" s="25" t="s">
        <v>137</v>
      </c>
      <c r="G2" s="2">
        <v>0</v>
      </c>
      <c r="H2" s="2">
        <v>274</v>
      </c>
      <c r="I2" s="2">
        <v>0</v>
      </c>
      <c r="J2" s="2">
        <v>274</v>
      </c>
      <c r="L2" s="4" t="s">
        <v>15</v>
      </c>
      <c r="M2" s="4">
        <f>SUM(I3:I7,I9:I13,I15:I19)</f>
        <v>274</v>
      </c>
      <c r="N2" s="4">
        <f>B5</f>
        <v>274</v>
      </c>
      <c r="O2" s="4">
        <f>N2-M2</f>
        <v>0</v>
      </c>
      <c r="Q2" s="4">
        <v>0</v>
      </c>
      <c r="R2" s="4">
        <f>B5</f>
        <v>274</v>
      </c>
      <c r="S2" s="4">
        <f>B5</f>
        <v>274</v>
      </c>
    </row>
    <row r="3" spans="1:19" ht="18" customHeight="1" x14ac:dyDescent="0.3">
      <c r="A3" s="3" t="s">
        <v>16</v>
      </c>
      <c r="B3" s="3">
        <v>131</v>
      </c>
      <c r="F3" s="4" t="s">
        <v>14</v>
      </c>
      <c r="G3" s="4">
        <v>11</v>
      </c>
      <c r="H3" s="4">
        <f>B2</f>
        <v>51</v>
      </c>
      <c r="I3" s="4">
        <v>8</v>
      </c>
      <c r="J3" s="4">
        <f>J2-I3</f>
        <v>266</v>
      </c>
      <c r="L3" s="24" t="s">
        <v>18</v>
      </c>
      <c r="M3" s="4">
        <v>15</v>
      </c>
      <c r="N3" s="4">
        <v>15</v>
      </c>
      <c r="O3" s="4">
        <f>N3-M3</f>
        <v>0</v>
      </c>
      <c r="Q3" s="4">
        <v>1</v>
      </c>
      <c r="R3" s="4">
        <f>ROUND($B$5*(1-1/15),1)</f>
        <v>255.7</v>
      </c>
      <c r="S3" s="4">
        <f>$B$5-(IFERROR(I3+0,0))</f>
        <v>266</v>
      </c>
    </row>
    <row r="4" spans="1:19" x14ac:dyDescent="0.3">
      <c r="A4" s="3" t="s">
        <v>19</v>
      </c>
      <c r="B4" s="3">
        <v>92</v>
      </c>
      <c r="F4" s="4" t="s">
        <v>17</v>
      </c>
      <c r="G4" s="4">
        <v>11</v>
      </c>
      <c r="H4" s="4">
        <f>H3-G3</f>
        <v>40</v>
      </c>
      <c r="I4" s="4">
        <v>22</v>
      </c>
      <c r="J4" s="4">
        <f t="shared" ref="J4:J7" si="0">J3-I4</f>
        <v>244</v>
      </c>
      <c r="L4" s="4" t="s">
        <v>21</v>
      </c>
      <c r="M4" s="4">
        <f>ROUND(M2/M3,1)</f>
        <v>18.3</v>
      </c>
      <c r="N4" s="4">
        <f>ROUND(N2/N3,1)</f>
        <v>18.3</v>
      </c>
      <c r="O4" s="4">
        <f>N4-M4</f>
        <v>0</v>
      </c>
      <c r="Q4" s="4">
        <v>2</v>
      </c>
      <c r="R4" s="4">
        <f>ROUND($B$5*(1-2/15),1)</f>
        <v>237.5</v>
      </c>
      <c r="S4" s="4">
        <f>$B$5-(IFERROR(I3+0,0)+IFERROR(I4+0,0))</f>
        <v>244</v>
      </c>
    </row>
    <row r="5" spans="1:19" x14ac:dyDescent="0.3">
      <c r="A5" s="3" t="s">
        <v>22</v>
      </c>
      <c r="B5" s="3">
        <f>SUM(B2,B3,B4)</f>
        <v>274</v>
      </c>
      <c r="F5" s="4" t="s">
        <v>20</v>
      </c>
      <c r="G5" s="4">
        <v>11</v>
      </c>
      <c r="H5" s="4">
        <f>H4-G4</f>
        <v>29</v>
      </c>
      <c r="I5" s="4">
        <v>11</v>
      </c>
      <c r="J5" s="4">
        <f t="shared" si="0"/>
        <v>233</v>
      </c>
      <c r="L5" s="5"/>
      <c r="M5" s="5"/>
      <c r="N5" s="5"/>
      <c r="O5" s="5"/>
      <c r="Q5" s="4">
        <v>3</v>
      </c>
      <c r="R5" s="4">
        <f>ROUND($B$5*(1-3/15),1)</f>
        <v>219.2</v>
      </c>
      <c r="S5" s="4">
        <f>$B$5-(IFERROR(I3+0,0)+IFERROR(I4+0,0)+IFERROR(I5+0,0))</f>
        <v>233</v>
      </c>
    </row>
    <row r="6" spans="1:19" x14ac:dyDescent="0.3">
      <c r="A6" s="3" t="s">
        <v>24</v>
      </c>
      <c r="B6" s="6">
        <f>ROUND(AVERAGE(B2,B3,B4)/15,2)</f>
        <v>6.09</v>
      </c>
      <c r="F6" s="4" t="s">
        <v>23</v>
      </c>
      <c r="G6" s="4">
        <v>11</v>
      </c>
      <c r="H6" s="4">
        <f>H5-G5</f>
        <v>18</v>
      </c>
      <c r="I6" s="4">
        <v>5</v>
      </c>
      <c r="J6" s="4">
        <f t="shared" si="0"/>
        <v>228</v>
      </c>
      <c r="L6" s="5"/>
      <c r="M6" s="5"/>
      <c r="N6" s="5"/>
      <c r="O6" s="5"/>
      <c r="Q6" s="4">
        <v>4</v>
      </c>
      <c r="R6" s="4">
        <f>ROUND($B$5*(1-4/15),1)</f>
        <v>200.9</v>
      </c>
      <c r="S6" s="4">
        <f>$B$5-(IFERROR(I3+0,0)+IFERROR(I4+0,0)+IFERROR(I5+0,0)+IFERROR(I6+0,0))</f>
        <v>228</v>
      </c>
    </row>
    <row r="7" spans="1:19" x14ac:dyDescent="0.3">
      <c r="F7" s="4" t="s">
        <v>25</v>
      </c>
      <c r="G7" s="4">
        <v>7</v>
      </c>
      <c r="H7" s="4">
        <f>H6-G6</f>
        <v>7</v>
      </c>
      <c r="I7" s="4">
        <v>5</v>
      </c>
      <c r="J7" s="4">
        <f t="shared" si="0"/>
        <v>223</v>
      </c>
      <c r="L7" s="5"/>
      <c r="M7" s="5"/>
      <c r="N7" s="5"/>
      <c r="O7" s="5"/>
      <c r="Q7" s="4">
        <v>5</v>
      </c>
      <c r="R7" s="4">
        <f>ROUND($B$5*(1-5/15),1)</f>
        <v>182.7</v>
      </c>
      <c r="S7" s="4">
        <f>$B$5-(IFERROR(I3+0,0)+IFERROR(I4+0,0)+IFERROR(I5+0,0)+IFERROR(I6+0,0)+IFERROR(I7+0,0))</f>
        <v>223</v>
      </c>
    </row>
    <row r="8" spans="1:19" x14ac:dyDescent="0.3">
      <c r="A8" s="21" t="s">
        <v>7</v>
      </c>
      <c r="B8" s="21" t="s">
        <v>8</v>
      </c>
      <c r="C8" s="21" t="s">
        <v>9</v>
      </c>
      <c r="D8" s="21" t="s">
        <v>10</v>
      </c>
      <c r="F8" s="7" t="s">
        <v>13</v>
      </c>
      <c r="G8" s="8"/>
      <c r="H8" s="8"/>
      <c r="I8" s="8"/>
      <c r="J8" s="8"/>
      <c r="L8" s="5"/>
      <c r="M8" s="5"/>
      <c r="N8" s="5"/>
      <c r="O8" s="5"/>
      <c r="Q8" s="4">
        <v>6</v>
      </c>
      <c r="R8" s="4">
        <f>ROUND($B$5*(1-6/15),1)</f>
        <v>164.4</v>
      </c>
      <c r="S8" s="4">
        <f>$B$5-(IFERROR(I3+0,0)+IFERROR(I4+0,0)+IFERROR(I5+0,0)+IFERROR(I6+0,0)+IFERROR(I7+0,0)+IFERROR(I9+0,0))</f>
        <v>184</v>
      </c>
    </row>
    <row r="9" spans="1:19" x14ac:dyDescent="0.3">
      <c r="A9" s="3" t="s">
        <v>13</v>
      </c>
      <c r="B9" s="3">
        <f>SUM(I4:I8)</f>
        <v>43</v>
      </c>
      <c r="C9" s="3">
        <f>B2</f>
        <v>51</v>
      </c>
      <c r="D9" s="3">
        <f>C9-B9</f>
        <v>8</v>
      </c>
      <c r="F9" s="4" t="s">
        <v>14</v>
      </c>
      <c r="G9" s="4">
        <v>31</v>
      </c>
      <c r="H9" s="4">
        <f>B3</f>
        <v>131</v>
      </c>
      <c r="I9" s="4">
        <v>39</v>
      </c>
      <c r="J9" s="4">
        <f>J7-I9</f>
        <v>184</v>
      </c>
      <c r="L9" s="5"/>
      <c r="M9" s="5"/>
      <c r="N9" s="5"/>
      <c r="O9" s="5"/>
      <c r="Q9" s="4">
        <v>7</v>
      </c>
      <c r="R9" s="4">
        <f>ROUND($B$5*(1-7/15),1)</f>
        <v>146.1</v>
      </c>
      <c r="S9" s="4">
        <f>$B$5-(IFERROR(I3+0,0)+IFERROR(I4+0,0)+IFERROR(I5+0,0)+IFERROR(I6+0,0)+IFERROR(I7+0,0)+IFERROR(I9+0,0)+IFERROR(I10+0,0))</f>
        <v>158</v>
      </c>
    </row>
    <row r="10" spans="1:19" x14ac:dyDescent="0.3">
      <c r="A10" s="3" t="s">
        <v>16</v>
      </c>
      <c r="B10" s="3">
        <f>SUM(I10:I14)</f>
        <v>92</v>
      </c>
      <c r="C10" s="3">
        <f>B3</f>
        <v>131</v>
      </c>
      <c r="D10" s="3">
        <f>C10-B10</f>
        <v>39</v>
      </c>
      <c r="F10" s="4" t="s">
        <v>17</v>
      </c>
      <c r="G10" s="4">
        <v>25</v>
      </c>
      <c r="H10" s="4">
        <f>H9-G9</f>
        <v>100</v>
      </c>
      <c r="I10" s="4">
        <v>26</v>
      </c>
      <c r="J10" s="4">
        <f>J9-I10</f>
        <v>158</v>
      </c>
      <c r="Q10" s="4">
        <v>8</v>
      </c>
      <c r="R10" s="4">
        <f>ROUND($B$5*(1-8/15),1)</f>
        <v>127.9</v>
      </c>
      <c r="S10" s="4">
        <f>$B$5-(IFERROR(I3+0,0)+IFERROR(I4+0,0)+IFERROR(I5+0,0)+IFERROR(I6+0,0)+IFERROR(I7+0,0)+IFERROR(I9+0,0)+IFERROR(I10+0,0)+IFERROR(I11+0,0))</f>
        <v>132</v>
      </c>
    </row>
    <row r="11" spans="1:19" x14ac:dyDescent="0.3">
      <c r="A11" s="3" t="s">
        <v>19</v>
      </c>
      <c r="B11" s="3">
        <f>SUM(I16:I20)</f>
        <v>71</v>
      </c>
      <c r="C11" s="3">
        <f>B4</f>
        <v>92</v>
      </c>
      <c r="D11" s="3">
        <f>C11-B11</f>
        <v>21</v>
      </c>
      <c r="F11" s="4" t="s">
        <v>20</v>
      </c>
      <c r="G11" s="4">
        <v>25</v>
      </c>
      <c r="H11" s="4">
        <f>H10-G10</f>
        <v>75</v>
      </c>
      <c r="I11" s="4">
        <v>26</v>
      </c>
      <c r="J11" s="4">
        <f t="shared" ref="J11:J13" si="1">J10-I11</f>
        <v>132</v>
      </c>
      <c r="Q11" s="4">
        <v>9</v>
      </c>
      <c r="R11" s="4">
        <f>ROUND($B$5*(1-9/15),1)</f>
        <v>109.6</v>
      </c>
      <c r="S11" s="4">
        <f>$B$5-(IFERROR(I3+0,0)+IFERROR(I4+0,0)+IFERROR(I5+0,0)+IFERROR(I6+0,0)+IFERROR(I7+0,0)+IFERROR(I9+0,0)+IFERROR(I10+0,0)+IFERROR(I11+0,0)+IFERROR(I12+0,0))</f>
        <v>106</v>
      </c>
    </row>
    <row r="12" spans="1:19" x14ac:dyDescent="0.3">
      <c r="F12" s="4" t="s">
        <v>23</v>
      </c>
      <c r="G12" s="4">
        <v>25</v>
      </c>
      <c r="H12" s="4">
        <f>H11-G11</f>
        <v>50</v>
      </c>
      <c r="I12" s="4">
        <v>26</v>
      </c>
      <c r="J12" s="4">
        <f t="shared" si="1"/>
        <v>106</v>
      </c>
      <c r="Q12" s="4">
        <v>10</v>
      </c>
      <c r="R12" s="4">
        <f>ROUND($B$5*(1-10/15),1)</f>
        <v>91.3</v>
      </c>
      <c r="S12" s="4">
        <f>$B$5-(IFERROR(I3+0,0)+IFERROR(I4+0,0)+IFERROR(I5+0,0)+IFERROR(I6+0,0)+IFERROR(I7+0,0)+IFERROR(I9+0,0)+IFERROR(I10+0,0)+IFERROR(I11+0,0)+IFERROR(I12+0,0)+IFERROR(I13+0,0))</f>
        <v>92</v>
      </c>
    </row>
    <row r="13" spans="1:19" x14ac:dyDescent="0.3">
      <c r="F13" s="4" t="s">
        <v>25</v>
      </c>
      <c r="G13" s="4">
        <v>25</v>
      </c>
      <c r="H13" s="4">
        <f>H12-G12</f>
        <v>25</v>
      </c>
      <c r="I13" s="4">
        <v>14</v>
      </c>
      <c r="J13" s="4">
        <f t="shared" si="1"/>
        <v>92</v>
      </c>
      <c r="Q13" s="4">
        <v>11</v>
      </c>
      <c r="R13" s="4">
        <f>ROUND($B$5*(1-11/15),1)</f>
        <v>73.099999999999994</v>
      </c>
      <c r="S13" s="4">
        <f>$B$5-(IFERROR(I3+0,0)+IFERROR(I4+0,0)+IFERROR(I5+0,0)+IFERROR(I6+0,0)+IFERROR(I7+0,0)+IFERROR(I9+0,0)+IFERROR(I10+0,0)+IFERROR(I11+0,0)+IFERROR(I12+0,0)+IFERROR(I13+0,0)+IFERROR(I15+0,0))</f>
        <v>71</v>
      </c>
    </row>
    <row r="14" spans="1:19" x14ac:dyDescent="0.3">
      <c r="F14" s="7" t="s">
        <v>16</v>
      </c>
      <c r="G14" s="8"/>
      <c r="H14" s="8"/>
      <c r="I14" s="8"/>
      <c r="J14" s="8"/>
      <c r="Q14" s="4">
        <v>12</v>
      </c>
      <c r="R14" s="4">
        <f>ROUND($B$5*(1-12/15),1)</f>
        <v>54.8</v>
      </c>
      <c r="S14" s="4">
        <f>$B$5-(IFERROR(I3+0,0)+IFERROR(I4+0,0)+IFERROR(I5+0,0)+IFERROR(I6+0,0)+IFERROR(I7+0,0)+IFERROR(I9+0,0)+IFERROR(I10+0,0)+IFERROR(I11+0,0)+IFERROR(I12+0,0)+IFERROR(I13+0,0)+IFERROR(I15+0,0)+IFERROR(I16+0,0))</f>
        <v>45</v>
      </c>
    </row>
    <row r="15" spans="1:19" x14ac:dyDescent="0.3">
      <c r="F15" s="4" t="s">
        <v>14</v>
      </c>
      <c r="G15" s="4">
        <v>20</v>
      </c>
      <c r="H15" s="4">
        <f>B4</f>
        <v>92</v>
      </c>
      <c r="I15" s="4">
        <v>21</v>
      </c>
      <c r="J15" s="4">
        <f>J13-I15</f>
        <v>71</v>
      </c>
      <c r="Q15" s="4">
        <v>13</v>
      </c>
      <c r="R15" s="4">
        <f>ROUND($B$5*(1-13/15),1)</f>
        <v>36.5</v>
      </c>
      <c r="S15" s="4">
        <f>$B$5-(IFERROR(I3+0,0)+IFERROR(I4+0,0)+IFERROR(I5+0,0)+IFERROR(I6+0,0)+IFERROR(I7+0,0)+IFERROR(I9+0,0)+IFERROR(I10+0,0)+IFERROR(I11+0,0)+IFERROR(I12+0,0)+IFERROR(I13+0,0)+IFERROR(I15+0,0)+IFERROR(I16+0,0)+IFERROR(I17+0,0))</f>
        <v>28</v>
      </c>
    </row>
    <row r="16" spans="1:19" x14ac:dyDescent="0.3">
      <c r="F16" s="4" t="s">
        <v>17</v>
      </c>
      <c r="G16" s="4">
        <v>20</v>
      </c>
      <c r="H16" s="4">
        <f>H15-G15</f>
        <v>72</v>
      </c>
      <c r="I16" s="4">
        <v>26</v>
      </c>
      <c r="J16" s="4">
        <f>J15-I16</f>
        <v>45</v>
      </c>
      <c r="Q16" s="4">
        <v>14</v>
      </c>
      <c r="R16" s="4">
        <f>ROUND($B$5*(1-14/15),1)</f>
        <v>18.3</v>
      </c>
      <c r="S16" s="4">
        <f>$B$5-(IFERROR(I3+0,0)+IFERROR(I4+0,0)+IFERROR(I5+0,0)+IFERROR(I6+0,0)+IFERROR(I7+0,0)+IFERROR(I9+0,0)+IFERROR(I10+0,0)+IFERROR(I11+0,0)+IFERROR(I12+0,0)+IFERROR(I13+0,0)+IFERROR(I15+0,0)+IFERROR(I16+0,0)+IFERROR(I17+0,0)+IFERROR(I18+0,0))</f>
        <v>7</v>
      </c>
    </row>
    <row r="17" spans="6:19" x14ac:dyDescent="0.3">
      <c r="F17" s="4" t="s">
        <v>20</v>
      </c>
      <c r="G17" s="4">
        <v>20</v>
      </c>
      <c r="H17" s="4">
        <f>H16-G16</f>
        <v>52</v>
      </c>
      <c r="I17" s="4">
        <v>17</v>
      </c>
      <c r="J17" s="4">
        <f t="shared" ref="J17:J19" si="2">J16-I17</f>
        <v>28</v>
      </c>
      <c r="Q17" s="4">
        <v>15</v>
      </c>
      <c r="R17" s="4">
        <f>ROUND($B$5*(1-15/15),1)</f>
        <v>0</v>
      </c>
      <c r="S17" s="4">
        <f>$B$5-(IFERROR(I3+0,0)+IFERROR(I4+0,0)+IFERROR(I5+0,0)+IFERROR(I6+0,0)+IFERROR(I7+0,0)+IFERROR(I9+0,0)+IFERROR(I10+0,0)+IFERROR(I11+0,0)+IFERROR(I12+0,0)+IFERROR(I13+0,0)+IFERROR(I15+0,0)+IFERROR(I16+0,0)+IFERROR(I17+0,0)+IFERROR(I18+0,0)+IFERROR(I19+0,0))</f>
        <v>0</v>
      </c>
    </row>
    <row r="18" spans="6:19" x14ac:dyDescent="0.3">
      <c r="F18" s="4" t="s">
        <v>23</v>
      </c>
      <c r="G18" s="4">
        <v>20</v>
      </c>
      <c r="H18" s="4">
        <f>H17-G17</f>
        <v>32</v>
      </c>
      <c r="I18" s="4">
        <v>21</v>
      </c>
      <c r="J18" s="4">
        <f t="shared" si="2"/>
        <v>7</v>
      </c>
      <c r="Q18" s="5"/>
      <c r="R18" s="5"/>
      <c r="S18" s="5"/>
    </row>
    <row r="19" spans="6:19" x14ac:dyDescent="0.3">
      <c r="F19" s="4" t="s">
        <v>25</v>
      </c>
      <c r="G19" s="4">
        <v>12</v>
      </c>
      <c r="H19" s="4">
        <f>H18-G18</f>
        <v>12</v>
      </c>
      <c r="I19" s="4">
        <v>7</v>
      </c>
      <c r="J19" s="4">
        <f t="shared" si="2"/>
        <v>0</v>
      </c>
      <c r="Q19" s="5"/>
      <c r="R19" s="5"/>
      <c r="S19" s="5"/>
    </row>
    <row r="20" spans="6:19" x14ac:dyDescent="0.3">
      <c r="F20" s="7" t="s">
        <v>19</v>
      </c>
      <c r="G20" s="8"/>
      <c r="H20" s="8"/>
      <c r="I20" s="8"/>
      <c r="J20" s="8"/>
      <c r="Q20" s="5"/>
      <c r="R20" s="5"/>
      <c r="S20" s="5"/>
    </row>
    <row r="21" spans="6:19" x14ac:dyDescent="0.3">
      <c r="F21" s="2" t="s">
        <v>26</v>
      </c>
      <c r="G21" s="2">
        <f>SUM(G3:G7,G9:G13,G15:G19)</f>
        <v>274</v>
      </c>
      <c r="H21" s="2"/>
      <c r="I21" s="2">
        <f>SUM(I3:I7,I9:I13,I15:I19)</f>
        <v>274</v>
      </c>
      <c r="J21" s="2"/>
      <c r="Q21" s="5"/>
      <c r="R21" s="5"/>
      <c r="S21" s="5"/>
    </row>
    <row r="22" spans="6:19" x14ac:dyDescent="0.3">
      <c r="F22" s="5"/>
      <c r="G22" s="5"/>
      <c r="H22" s="5"/>
      <c r="I22" s="5"/>
      <c r="J22" s="5"/>
      <c r="Q22" s="5"/>
      <c r="R22" s="5"/>
      <c r="S22" s="5"/>
    </row>
    <row r="23" spans="6:19" x14ac:dyDescent="0.3">
      <c r="F23" s="5"/>
      <c r="G23" s="5"/>
      <c r="H23" s="5"/>
      <c r="I23" s="5"/>
      <c r="J23" s="5"/>
      <c r="Q23" s="5"/>
      <c r="R23" s="5"/>
      <c r="S23" s="5"/>
    </row>
    <row r="24" spans="6:19" x14ac:dyDescent="0.3">
      <c r="F24" s="5"/>
      <c r="G24" s="5"/>
      <c r="H24" s="5"/>
      <c r="I24" s="5"/>
      <c r="J24" s="5"/>
      <c r="Q24" s="5"/>
      <c r="R24" s="5"/>
      <c r="S24" s="5"/>
    </row>
    <row r="25" spans="6:19" x14ac:dyDescent="0.3">
      <c r="F25" s="5"/>
      <c r="G25" s="5"/>
      <c r="H25" s="5"/>
      <c r="I25" s="5"/>
      <c r="J25" s="5"/>
      <c r="Q25" s="5"/>
      <c r="R25" s="5"/>
      <c r="S25" s="5"/>
    </row>
    <row r="26" spans="6:19" x14ac:dyDescent="0.3">
      <c r="F26" s="5"/>
      <c r="G26" s="5"/>
      <c r="H26" s="5"/>
      <c r="I26" s="5"/>
      <c r="J26" s="5"/>
      <c r="Q26" s="5"/>
      <c r="R26" s="5"/>
      <c r="S26" s="5"/>
    </row>
    <row r="27" spans="6:19" x14ac:dyDescent="0.3">
      <c r="F27" s="5"/>
      <c r="G27" s="5"/>
      <c r="H27" s="5"/>
      <c r="I27" s="5"/>
      <c r="J27" s="5"/>
      <c r="Q27" s="5"/>
      <c r="R27" s="5"/>
      <c r="S27" s="5"/>
    </row>
    <row r="28" spans="6:19" x14ac:dyDescent="0.3">
      <c r="F28" s="5"/>
      <c r="G28" s="5"/>
      <c r="H28" s="5"/>
      <c r="I28" s="5"/>
      <c r="J28" s="5"/>
      <c r="Q28" s="5"/>
      <c r="R28" s="5"/>
      <c r="S28" s="5"/>
    </row>
    <row r="29" spans="6:19" x14ac:dyDescent="0.3">
      <c r="F29" s="5"/>
      <c r="G29" s="5"/>
      <c r="H29" s="5"/>
      <c r="I29" s="5"/>
      <c r="J29" s="5"/>
      <c r="Q29" s="5"/>
      <c r="R29" s="5"/>
      <c r="S29" s="5"/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3"/>
  <sheetViews>
    <sheetView showGridLines="0" topLeftCell="A13" zoomScaleNormal="100" workbookViewId="0">
      <selection activeCell="H5" sqref="H5"/>
    </sheetView>
  </sheetViews>
  <sheetFormatPr defaultColWidth="8.5546875" defaultRowHeight="14.4" x14ac:dyDescent="0.3"/>
  <cols>
    <col min="1" max="1" width="28.77734375" customWidth="1"/>
    <col min="2" max="2" width="98" customWidth="1"/>
    <col min="3" max="8" width="12.77734375" customWidth="1"/>
  </cols>
  <sheetData>
    <row r="1" spans="1:9" s="1" customFormat="1" ht="13.5" customHeight="1" x14ac:dyDescent="0.3">
      <c r="A1" s="9" t="s">
        <v>27</v>
      </c>
      <c r="B1" s="9" t="s">
        <v>28</v>
      </c>
      <c r="C1" s="9" t="s">
        <v>29</v>
      </c>
      <c r="D1" s="9" t="s">
        <v>30</v>
      </c>
      <c r="E1" s="9" t="s">
        <v>31</v>
      </c>
      <c r="F1" s="9" t="s">
        <v>32</v>
      </c>
      <c r="G1" s="9" t="s">
        <v>0</v>
      </c>
      <c r="H1" s="9" t="s">
        <v>33</v>
      </c>
    </row>
    <row r="2" spans="1:9" s="1" customFormat="1" ht="14.25" customHeight="1" x14ac:dyDescent="0.3">
      <c r="A2" s="10" t="s">
        <v>34</v>
      </c>
      <c r="B2" s="11" t="s">
        <v>35</v>
      </c>
      <c r="C2" s="12" t="s">
        <v>36</v>
      </c>
      <c r="D2" s="10" t="s">
        <v>37</v>
      </c>
      <c r="E2" s="10">
        <v>3</v>
      </c>
      <c r="F2" s="10">
        <v>1</v>
      </c>
      <c r="G2" s="10" t="s">
        <v>38</v>
      </c>
      <c r="H2" s="10" t="s">
        <v>39</v>
      </c>
    </row>
    <row r="3" spans="1:9" s="1" customFormat="1" ht="13.5" customHeight="1" x14ac:dyDescent="0.3">
      <c r="A3" s="10" t="s">
        <v>40</v>
      </c>
      <c r="B3" s="11" t="s">
        <v>41</v>
      </c>
      <c r="C3" s="12" t="s">
        <v>36</v>
      </c>
      <c r="D3" s="10" t="s">
        <v>42</v>
      </c>
      <c r="E3" s="10">
        <v>1</v>
      </c>
      <c r="F3" s="10">
        <v>2</v>
      </c>
      <c r="G3" s="10" t="s">
        <v>38</v>
      </c>
      <c r="H3" s="10" t="s">
        <v>43</v>
      </c>
    </row>
    <row r="4" spans="1:9" s="1" customFormat="1" ht="28.5" customHeight="1" x14ac:dyDescent="0.3">
      <c r="A4" s="10" t="s">
        <v>44</v>
      </c>
      <c r="B4" s="11" t="s">
        <v>45</v>
      </c>
      <c r="C4" s="12" t="s">
        <v>36</v>
      </c>
      <c r="D4" s="10" t="s">
        <v>42</v>
      </c>
      <c r="E4" s="10">
        <v>2</v>
      </c>
      <c r="F4" s="10">
        <v>1</v>
      </c>
      <c r="G4" s="10" t="s">
        <v>38</v>
      </c>
      <c r="H4" s="10" t="s">
        <v>43</v>
      </c>
    </row>
    <row r="5" spans="1:9" s="1" customFormat="1" ht="28.5" customHeight="1" x14ac:dyDescent="0.3">
      <c r="A5" s="10" t="s">
        <v>46</v>
      </c>
      <c r="B5" s="11" t="s">
        <v>47</v>
      </c>
      <c r="C5" s="13" t="s">
        <v>48</v>
      </c>
      <c r="D5" s="10" t="s">
        <v>37</v>
      </c>
      <c r="E5" s="10">
        <v>2</v>
      </c>
      <c r="F5" s="10">
        <v>1</v>
      </c>
      <c r="G5" s="10" t="s">
        <v>38</v>
      </c>
      <c r="H5" s="10" t="s">
        <v>49</v>
      </c>
    </row>
    <row r="6" spans="1:9" s="1" customFormat="1" ht="29.25" customHeight="1" x14ac:dyDescent="0.3">
      <c r="A6" s="10" t="s">
        <v>50</v>
      </c>
      <c r="B6" s="11" t="s">
        <v>51</v>
      </c>
      <c r="C6" s="13" t="s">
        <v>48</v>
      </c>
      <c r="D6" s="10" t="s">
        <v>52</v>
      </c>
      <c r="E6" s="10">
        <v>5</v>
      </c>
      <c r="F6" s="10">
        <v>2</v>
      </c>
      <c r="G6" s="10" t="s">
        <v>38</v>
      </c>
      <c r="H6" s="10" t="s">
        <v>53</v>
      </c>
    </row>
    <row r="7" spans="1:9" s="1" customFormat="1" ht="14.25" customHeight="1" x14ac:dyDescent="0.3">
      <c r="A7" s="10" t="s">
        <v>54</v>
      </c>
      <c r="B7" s="11" t="s">
        <v>55</v>
      </c>
      <c r="C7" s="14" t="s">
        <v>56</v>
      </c>
      <c r="D7" s="10" t="s">
        <v>57</v>
      </c>
      <c r="E7" s="10">
        <v>5</v>
      </c>
      <c r="F7" s="10">
        <v>1</v>
      </c>
      <c r="G7" s="10" t="s">
        <v>38</v>
      </c>
      <c r="H7" s="10" t="s">
        <v>58</v>
      </c>
    </row>
    <row r="8" spans="1:9" s="1" customFormat="1" ht="14.25" customHeight="1" x14ac:dyDescent="0.3">
      <c r="A8" s="10" t="s">
        <v>59</v>
      </c>
      <c r="B8" s="11" t="s">
        <v>60</v>
      </c>
      <c r="C8" s="14" t="s">
        <v>56</v>
      </c>
      <c r="D8" s="10" t="s">
        <v>57</v>
      </c>
      <c r="E8" s="10">
        <v>2</v>
      </c>
      <c r="F8" s="10">
        <v>1</v>
      </c>
      <c r="G8" s="10" t="s">
        <v>38</v>
      </c>
      <c r="H8" s="10" t="s">
        <v>39</v>
      </c>
    </row>
    <row r="9" spans="1:9" s="1" customFormat="1" ht="13.5" customHeight="1" x14ac:dyDescent="0.3">
      <c r="A9" s="10" t="s">
        <v>61</v>
      </c>
      <c r="B9" s="11" t="s">
        <v>62</v>
      </c>
      <c r="C9" s="12" t="s">
        <v>36</v>
      </c>
      <c r="D9" s="10" t="s">
        <v>42</v>
      </c>
      <c r="E9" s="10">
        <v>8</v>
      </c>
      <c r="F9" s="10">
        <v>1</v>
      </c>
      <c r="G9" s="10" t="s">
        <v>38</v>
      </c>
      <c r="H9" s="10" t="s">
        <v>63</v>
      </c>
    </row>
    <row r="10" spans="1:9" s="1" customFormat="1" ht="13.5" customHeight="1" x14ac:dyDescent="0.3">
      <c r="A10" s="10" t="s">
        <v>64</v>
      </c>
      <c r="B10" s="11" t="s">
        <v>65</v>
      </c>
      <c r="C10" s="13" t="s">
        <v>48</v>
      </c>
      <c r="D10" s="10" t="s">
        <v>37</v>
      </c>
      <c r="E10" s="10">
        <v>5</v>
      </c>
      <c r="F10" s="10">
        <v>2</v>
      </c>
      <c r="G10" s="10" t="s">
        <v>38</v>
      </c>
      <c r="H10" s="10" t="s">
        <v>49</v>
      </c>
    </row>
    <row r="11" spans="1:9" s="1" customFormat="1" ht="13.5" customHeight="1" x14ac:dyDescent="0.3">
      <c r="A11" s="10" t="s">
        <v>66</v>
      </c>
      <c r="B11" s="11" t="s">
        <v>67</v>
      </c>
      <c r="C11" s="13" t="s">
        <v>48</v>
      </c>
      <c r="D11" s="10" t="s">
        <v>37</v>
      </c>
      <c r="E11" s="10">
        <v>5</v>
      </c>
      <c r="F11" s="10">
        <v>3</v>
      </c>
      <c r="G11" s="10" t="s">
        <v>38</v>
      </c>
      <c r="H11" s="10" t="s">
        <v>58</v>
      </c>
    </row>
    <row r="12" spans="1:9" s="1" customFormat="1" ht="13.5" customHeight="1" x14ac:dyDescent="0.3">
      <c r="A12" s="10" t="s">
        <v>68</v>
      </c>
      <c r="B12" s="11" t="s">
        <v>69</v>
      </c>
      <c r="C12" s="12" t="s">
        <v>36</v>
      </c>
      <c r="D12" s="10" t="s">
        <v>70</v>
      </c>
      <c r="E12" s="10">
        <v>13</v>
      </c>
      <c r="F12" s="10">
        <v>2</v>
      </c>
      <c r="G12" s="10" t="s">
        <v>38</v>
      </c>
      <c r="H12" s="10" t="s">
        <v>71</v>
      </c>
    </row>
    <row r="13" spans="1:9" s="1" customFormat="1" ht="13.5" customHeight="1" x14ac:dyDescent="0.3">
      <c r="A13" s="15" t="s">
        <v>72</v>
      </c>
      <c r="B13" s="16" t="s">
        <v>73</v>
      </c>
      <c r="C13" s="12" t="s">
        <v>36</v>
      </c>
      <c r="D13" s="15" t="s">
        <v>42</v>
      </c>
      <c r="E13" s="15">
        <v>2</v>
      </c>
      <c r="F13" s="15">
        <v>1</v>
      </c>
      <c r="G13" s="15" t="s">
        <v>74</v>
      </c>
      <c r="H13" s="15" t="s">
        <v>75</v>
      </c>
      <c r="I13" s="17"/>
    </row>
    <row r="14" spans="1:9" s="1" customFormat="1" ht="13.5" customHeight="1" x14ac:dyDescent="0.3">
      <c r="A14" s="15" t="s">
        <v>76</v>
      </c>
      <c r="B14" s="16" t="s">
        <v>77</v>
      </c>
      <c r="C14" s="12" t="s">
        <v>36</v>
      </c>
      <c r="D14" s="15" t="s">
        <v>57</v>
      </c>
      <c r="E14" s="15">
        <v>8</v>
      </c>
      <c r="F14" s="15">
        <v>2</v>
      </c>
      <c r="G14" s="15" t="s">
        <v>74</v>
      </c>
      <c r="H14" s="15" t="s">
        <v>78</v>
      </c>
      <c r="I14" s="17"/>
    </row>
    <row r="15" spans="1:9" s="1" customFormat="1" ht="13.5" customHeight="1" x14ac:dyDescent="0.3">
      <c r="A15" s="15" t="s">
        <v>79</v>
      </c>
      <c r="B15" s="16" t="s">
        <v>80</v>
      </c>
      <c r="C15" s="12" t="s">
        <v>36</v>
      </c>
      <c r="D15" s="15" t="s">
        <v>42</v>
      </c>
      <c r="E15" s="15">
        <v>5</v>
      </c>
      <c r="F15" s="15">
        <v>2</v>
      </c>
      <c r="G15" s="15" t="s">
        <v>74</v>
      </c>
      <c r="H15" s="15" t="s">
        <v>78</v>
      </c>
      <c r="I15" s="17"/>
    </row>
    <row r="16" spans="1:9" s="1" customFormat="1" ht="13.5" customHeight="1" x14ac:dyDescent="0.3">
      <c r="A16" s="15" t="s">
        <v>81</v>
      </c>
      <c r="B16" s="16" t="s">
        <v>82</v>
      </c>
      <c r="C16" s="13" t="s">
        <v>48</v>
      </c>
      <c r="D16" s="15" t="s">
        <v>42</v>
      </c>
      <c r="E16" s="15">
        <v>8</v>
      </c>
      <c r="F16" s="15">
        <v>2</v>
      </c>
      <c r="G16" s="15" t="s">
        <v>74</v>
      </c>
      <c r="H16" s="15" t="s">
        <v>75</v>
      </c>
      <c r="I16" s="17"/>
    </row>
    <row r="17" spans="1:9" s="1" customFormat="1" ht="13.5" customHeight="1" x14ac:dyDescent="0.3">
      <c r="A17" s="15" t="s">
        <v>83</v>
      </c>
      <c r="B17" s="16" t="s">
        <v>84</v>
      </c>
      <c r="C17" s="12" t="s">
        <v>36</v>
      </c>
      <c r="D17" s="15" t="s">
        <v>37</v>
      </c>
      <c r="E17" s="15">
        <v>5</v>
      </c>
      <c r="F17" s="15">
        <v>2</v>
      </c>
      <c r="G17" s="15" t="s">
        <v>74</v>
      </c>
      <c r="H17" s="15" t="s">
        <v>78</v>
      </c>
      <c r="I17" s="17"/>
    </row>
    <row r="18" spans="1:9" s="1" customFormat="1" ht="13.5" customHeight="1" x14ac:dyDescent="0.3">
      <c r="A18" s="15" t="s">
        <v>85</v>
      </c>
      <c r="B18" s="16" t="s">
        <v>86</v>
      </c>
      <c r="C18" s="13" t="s">
        <v>48</v>
      </c>
      <c r="D18" s="15" t="s">
        <v>42</v>
      </c>
      <c r="E18" s="15">
        <v>13</v>
      </c>
      <c r="F18" s="15">
        <v>1</v>
      </c>
      <c r="G18" s="15" t="s">
        <v>74</v>
      </c>
      <c r="H18" s="15" t="s">
        <v>87</v>
      </c>
      <c r="I18" s="17"/>
    </row>
    <row r="19" spans="1:9" s="1" customFormat="1" ht="13.5" customHeight="1" x14ac:dyDescent="0.3">
      <c r="A19" s="15" t="s">
        <v>88</v>
      </c>
      <c r="B19" s="16" t="s">
        <v>89</v>
      </c>
      <c r="C19" s="13" t="s">
        <v>48</v>
      </c>
      <c r="D19" s="15" t="s">
        <v>52</v>
      </c>
      <c r="E19" s="15">
        <v>13</v>
      </c>
      <c r="F19" s="15">
        <v>3</v>
      </c>
      <c r="G19" s="15" t="s">
        <v>74</v>
      </c>
      <c r="H19" s="15" t="s">
        <v>78</v>
      </c>
      <c r="I19" s="17"/>
    </row>
    <row r="20" spans="1:9" s="1" customFormat="1" ht="13.5" customHeight="1" x14ac:dyDescent="0.3">
      <c r="A20" s="15" t="s">
        <v>61</v>
      </c>
      <c r="B20" s="16" t="s">
        <v>90</v>
      </c>
      <c r="C20" s="13" t="s">
        <v>48</v>
      </c>
      <c r="D20" s="15" t="s">
        <v>42</v>
      </c>
      <c r="E20" s="15">
        <v>13</v>
      </c>
      <c r="F20" s="15">
        <v>1</v>
      </c>
      <c r="G20" s="15" t="s">
        <v>74</v>
      </c>
      <c r="H20" s="15" t="s">
        <v>87</v>
      </c>
      <c r="I20" s="17"/>
    </row>
    <row r="21" spans="1:9" s="1" customFormat="1" ht="13.5" customHeight="1" x14ac:dyDescent="0.3">
      <c r="A21" s="15" t="s">
        <v>91</v>
      </c>
      <c r="B21" s="16" t="s">
        <v>92</v>
      </c>
      <c r="C21" s="13" t="s">
        <v>48</v>
      </c>
      <c r="D21" s="15" t="s">
        <v>37</v>
      </c>
      <c r="E21" s="15">
        <v>13</v>
      </c>
      <c r="F21" s="15">
        <v>1</v>
      </c>
      <c r="G21" s="15" t="s">
        <v>74</v>
      </c>
      <c r="H21" s="15" t="s">
        <v>93</v>
      </c>
      <c r="I21" s="17"/>
    </row>
    <row r="22" spans="1:9" s="1" customFormat="1" ht="13.5" customHeight="1" x14ac:dyDescent="0.3">
      <c r="A22" s="15" t="s">
        <v>94</v>
      </c>
      <c r="B22" s="16" t="s">
        <v>95</v>
      </c>
      <c r="C22" s="13" t="s">
        <v>48</v>
      </c>
      <c r="D22" s="15" t="s">
        <v>42</v>
      </c>
      <c r="E22" s="15">
        <v>13</v>
      </c>
      <c r="F22" s="15">
        <v>3</v>
      </c>
      <c r="G22" s="15" t="s">
        <v>74</v>
      </c>
      <c r="H22" s="15" t="s">
        <v>96</v>
      </c>
      <c r="I22" s="17"/>
    </row>
    <row r="23" spans="1:9" s="1" customFormat="1" ht="13.5" customHeight="1" x14ac:dyDescent="0.3">
      <c r="A23" s="15" t="s">
        <v>97</v>
      </c>
      <c r="B23" s="16" t="s">
        <v>98</v>
      </c>
      <c r="C23" s="14" t="s">
        <v>56</v>
      </c>
      <c r="D23" s="15" t="s">
        <v>37</v>
      </c>
      <c r="E23" s="15">
        <v>13</v>
      </c>
      <c r="F23" s="15">
        <v>1</v>
      </c>
      <c r="G23" s="15" t="s">
        <v>74</v>
      </c>
      <c r="H23" s="15" t="s">
        <v>75</v>
      </c>
      <c r="I23" s="17"/>
    </row>
    <row r="24" spans="1:9" s="1" customFormat="1" ht="14.25" customHeight="1" x14ac:dyDescent="0.3">
      <c r="A24" s="15" t="s">
        <v>99</v>
      </c>
      <c r="B24" s="16" t="s">
        <v>100</v>
      </c>
      <c r="C24" s="13" t="s">
        <v>48</v>
      </c>
      <c r="D24" s="15" t="s">
        <v>52</v>
      </c>
      <c r="E24" s="15">
        <v>5</v>
      </c>
      <c r="F24" s="15">
        <v>2</v>
      </c>
      <c r="G24" s="15" t="s">
        <v>74</v>
      </c>
      <c r="H24" s="15" t="s">
        <v>101</v>
      </c>
      <c r="I24" s="17"/>
    </row>
    <row r="25" spans="1:9" s="1" customFormat="1" ht="28.5" customHeight="1" x14ac:dyDescent="0.3">
      <c r="A25" s="15" t="s">
        <v>102</v>
      </c>
      <c r="B25" s="16" t="s">
        <v>103</v>
      </c>
      <c r="C25" s="13" t="s">
        <v>48</v>
      </c>
      <c r="D25" s="15" t="s">
        <v>37</v>
      </c>
      <c r="E25" s="15">
        <v>2</v>
      </c>
      <c r="F25" s="15">
        <v>3</v>
      </c>
      <c r="G25" s="15" t="s">
        <v>74</v>
      </c>
      <c r="H25" s="15" t="s">
        <v>87</v>
      </c>
      <c r="I25" s="17"/>
    </row>
    <row r="26" spans="1:9" s="1" customFormat="1" ht="13.5" customHeight="1" x14ac:dyDescent="0.3">
      <c r="A26" s="15" t="s">
        <v>104</v>
      </c>
      <c r="B26" s="16" t="s">
        <v>105</v>
      </c>
      <c r="C26" s="14" t="s">
        <v>56</v>
      </c>
      <c r="D26" s="15" t="s">
        <v>52</v>
      </c>
      <c r="E26" s="15">
        <v>5</v>
      </c>
      <c r="F26" s="15">
        <v>2</v>
      </c>
      <c r="G26" s="15" t="s">
        <v>74</v>
      </c>
      <c r="H26" s="15" t="s">
        <v>96</v>
      </c>
      <c r="I26" s="17"/>
    </row>
    <row r="27" spans="1:9" s="1" customFormat="1" ht="13.5" customHeight="1" x14ac:dyDescent="0.3">
      <c r="A27" s="15" t="s">
        <v>106</v>
      </c>
      <c r="B27" s="16" t="s">
        <v>107</v>
      </c>
      <c r="C27" s="14" t="s">
        <v>56</v>
      </c>
      <c r="D27" s="15" t="s">
        <v>52</v>
      </c>
      <c r="E27" s="15">
        <v>8</v>
      </c>
      <c r="F27" s="15">
        <v>2</v>
      </c>
      <c r="G27" s="15" t="s">
        <v>74</v>
      </c>
      <c r="H27" s="15" t="s">
        <v>108</v>
      </c>
      <c r="I27" s="17"/>
    </row>
    <row r="28" spans="1:9" s="1" customFormat="1" ht="13.5" customHeight="1" x14ac:dyDescent="0.3">
      <c r="A28" s="15" t="s">
        <v>109</v>
      </c>
      <c r="B28" s="16" t="s">
        <v>110</v>
      </c>
      <c r="C28" s="14" t="s">
        <v>56</v>
      </c>
      <c r="D28" s="15" t="s">
        <v>70</v>
      </c>
      <c r="E28" s="15">
        <v>5</v>
      </c>
      <c r="F28" s="15">
        <v>2</v>
      </c>
      <c r="G28" s="15" t="s">
        <v>74</v>
      </c>
      <c r="H28" s="15" t="s">
        <v>93</v>
      </c>
      <c r="I28" s="17"/>
    </row>
    <row r="29" spans="1:9" s="1" customFormat="1" ht="13.5" customHeight="1" x14ac:dyDescent="0.3">
      <c r="A29" s="18" t="s">
        <v>111</v>
      </c>
      <c r="B29" s="19" t="s">
        <v>112</v>
      </c>
      <c r="C29" s="14" t="s">
        <v>56</v>
      </c>
      <c r="D29" s="18" t="s">
        <v>42</v>
      </c>
      <c r="E29" s="18">
        <v>5</v>
      </c>
      <c r="F29" s="18">
        <v>1</v>
      </c>
      <c r="G29" s="18" t="s">
        <v>113</v>
      </c>
      <c r="H29" s="18" t="s">
        <v>75</v>
      </c>
    </row>
    <row r="30" spans="1:9" s="1" customFormat="1" ht="13.5" customHeight="1" x14ac:dyDescent="0.3">
      <c r="A30" s="18" t="s">
        <v>114</v>
      </c>
      <c r="B30" s="19" t="s">
        <v>115</v>
      </c>
      <c r="C30" s="12" t="s">
        <v>36</v>
      </c>
      <c r="D30" s="18" t="s">
        <v>57</v>
      </c>
      <c r="E30" s="18">
        <v>5</v>
      </c>
      <c r="F30" s="18">
        <v>1</v>
      </c>
      <c r="G30" s="18" t="s">
        <v>113</v>
      </c>
      <c r="H30" s="18" t="s">
        <v>75</v>
      </c>
    </row>
    <row r="31" spans="1:9" s="1" customFormat="1" ht="13.5" customHeight="1" x14ac:dyDescent="0.3">
      <c r="A31" s="18" t="s">
        <v>116</v>
      </c>
      <c r="B31" s="19" t="s">
        <v>117</v>
      </c>
      <c r="C31" s="14" t="s">
        <v>56</v>
      </c>
      <c r="D31" s="18" t="s">
        <v>42</v>
      </c>
      <c r="E31" s="18">
        <v>3</v>
      </c>
      <c r="F31" s="18">
        <v>2</v>
      </c>
      <c r="G31" s="18" t="s">
        <v>113</v>
      </c>
      <c r="H31" s="18" t="s">
        <v>87</v>
      </c>
    </row>
    <row r="32" spans="1:9" s="1" customFormat="1" ht="13.5" customHeight="1" x14ac:dyDescent="0.3">
      <c r="A32" s="18" t="s">
        <v>118</v>
      </c>
      <c r="B32" s="19" t="s">
        <v>119</v>
      </c>
      <c r="C32" s="14" t="s">
        <v>56</v>
      </c>
      <c r="D32" s="18" t="s">
        <v>42</v>
      </c>
      <c r="E32" s="18">
        <v>3</v>
      </c>
      <c r="F32" s="18">
        <v>1</v>
      </c>
      <c r="G32" s="18" t="s">
        <v>113</v>
      </c>
      <c r="H32" s="18" t="s">
        <v>78</v>
      </c>
    </row>
    <row r="33" spans="1:8" s="1" customFormat="1" ht="13.5" customHeight="1" x14ac:dyDescent="0.3">
      <c r="A33" s="18" t="s">
        <v>120</v>
      </c>
      <c r="B33" s="19" t="s">
        <v>121</v>
      </c>
      <c r="C33" s="12" t="s">
        <v>36</v>
      </c>
      <c r="D33" s="18" t="s">
        <v>37</v>
      </c>
      <c r="E33" s="18">
        <v>5</v>
      </c>
      <c r="F33" s="18">
        <v>3</v>
      </c>
      <c r="G33" s="18" t="s">
        <v>113</v>
      </c>
      <c r="H33" s="18" t="s">
        <v>78</v>
      </c>
    </row>
    <row r="34" spans="1:8" s="1" customFormat="1" ht="13.5" customHeight="1" x14ac:dyDescent="0.3">
      <c r="A34" s="18" t="s">
        <v>122</v>
      </c>
      <c r="B34" s="19" t="s">
        <v>123</v>
      </c>
      <c r="C34" s="12" t="s">
        <v>36</v>
      </c>
      <c r="D34" s="18" t="s">
        <v>42</v>
      </c>
      <c r="E34" s="18">
        <v>8</v>
      </c>
      <c r="F34" s="18">
        <v>1</v>
      </c>
      <c r="G34" s="18" t="s">
        <v>113</v>
      </c>
      <c r="H34" s="18" t="s">
        <v>87</v>
      </c>
    </row>
    <row r="35" spans="1:8" s="1" customFormat="1" ht="13.5" customHeight="1" x14ac:dyDescent="0.3">
      <c r="A35" s="18" t="s">
        <v>124</v>
      </c>
      <c r="B35" s="19" t="s">
        <v>125</v>
      </c>
      <c r="C35" s="12" t="s">
        <v>36</v>
      </c>
      <c r="D35" s="18" t="s">
        <v>52</v>
      </c>
      <c r="E35" s="18">
        <v>8</v>
      </c>
      <c r="F35" s="18">
        <v>1</v>
      </c>
      <c r="G35" s="18" t="s">
        <v>113</v>
      </c>
      <c r="H35" s="18" t="s">
        <v>93</v>
      </c>
    </row>
    <row r="36" spans="1:8" s="1" customFormat="1" ht="13.5" customHeight="1" x14ac:dyDescent="0.3">
      <c r="A36" s="18" t="s">
        <v>126</v>
      </c>
      <c r="B36" s="19" t="s">
        <v>127</v>
      </c>
      <c r="C36" s="12" t="s">
        <v>36</v>
      </c>
      <c r="D36" s="18" t="s">
        <v>42</v>
      </c>
      <c r="E36" s="18">
        <v>8</v>
      </c>
      <c r="F36" s="18">
        <v>2</v>
      </c>
      <c r="G36" s="18" t="s">
        <v>113</v>
      </c>
      <c r="H36" s="18" t="s">
        <v>93</v>
      </c>
    </row>
    <row r="37" spans="1:8" s="1" customFormat="1" ht="28.5" customHeight="1" x14ac:dyDescent="0.3">
      <c r="A37" s="18" t="s">
        <v>128</v>
      </c>
      <c r="B37" s="19" t="s">
        <v>129</v>
      </c>
      <c r="C37" s="13" t="s">
        <v>48</v>
      </c>
      <c r="D37" s="18" t="s">
        <v>37</v>
      </c>
      <c r="E37" s="18">
        <v>13</v>
      </c>
      <c r="F37" s="18">
        <v>3</v>
      </c>
      <c r="G37" s="18" t="s">
        <v>113</v>
      </c>
      <c r="H37" s="18" t="s">
        <v>96</v>
      </c>
    </row>
    <row r="38" spans="1:8" s="1" customFormat="1" ht="28.5" customHeight="1" x14ac:dyDescent="0.3">
      <c r="A38" s="18" t="s">
        <v>130</v>
      </c>
      <c r="B38" s="19" t="s">
        <v>131</v>
      </c>
      <c r="C38" s="12" t="s">
        <v>36</v>
      </c>
      <c r="D38" s="18" t="s">
        <v>42</v>
      </c>
      <c r="E38" s="18">
        <v>8</v>
      </c>
      <c r="F38" s="18">
        <v>2</v>
      </c>
      <c r="G38" s="18" t="s">
        <v>113</v>
      </c>
      <c r="H38" s="18" t="s">
        <v>101</v>
      </c>
    </row>
    <row r="39" spans="1:8" s="1" customFormat="1" ht="13.5" customHeight="1" x14ac:dyDescent="0.3">
      <c r="A39" s="18" t="s">
        <v>132</v>
      </c>
      <c r="B39" s="19" t="s">
        <v>133</v>
      </c>
      <c r="C39" s="13" t="s">
        <v>48</v>
      </c>
      <c r="D39" s="18" t="s">
        <v>37</v>
      </c>
      <c r="E39" s="18">
        <v>5</v>
      </c>
      <c r="F39" s="18">
        <v>2</v>
      </c>
      <c r="G39" s="18" t="s">
        <v>113</v>
      </c>
      <c r="H39" s="18" t="s">
        <v>101</v>
      </c>
    </row>
    <row r="40" spans="1:8" s="1" customFormat="1" ht="28.5" customHeight="1" x14ac:dyDescent="0.3">
      <c r="A40" s="18" t="s">
        <v>134</v>
      </c>
      <c r="B40" s="19" t="s">
        <v>135</v>
      </c>
      <c r="C40" s="13" t="s">
        <v>48</v>
      </c>
      <c r="D40" s="18" t="s">
        <v>70</v>
      </c>
      <c r="E40" s="18">
        <v>21</v>
      </c>
      <c r="F40" s="18">
        <v>3</v>
      </c>
      <c r="G40" s="18" t="s">
        <v>113</v>
      </c>
      <c r="H40" s="18" t="s">
        <v>96</v>
      </c>
    </row>
    <row r="42" spans="1:8" x14ac:dyDescent="0.3">
      <c r="E42" s="20" t="s">
        <v>136</v>
      </c>
    </row>
    <row r="43" spans="1:8" x14ac:dyDescent="0.3">
      <c r="E43" s="3">
        <f>SUM(E2:E40)</f>
        <v>274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Tarefas</vt:lpstr>
      <vt:lpstr>Planejamento Sprints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vixus dev</dc:creator>
  <dc:description/>
  <cp:lastModifiedBy>vixus dev</cp:lastModifiedBy>
  <cp:revision>2</cp:revision>
  <dcterms:created xsi:type="dcterms:W3CDTF">2026-04-02T13:48:32Z</dcterms:created>
  <dcterms:modified xsi:type="dcterms:W3CDTF">2026-04-08T21:53:01Z</dcterms:modified>
  <dc:language>en-US</dc:language>
</cp:coreProperties>
</file>